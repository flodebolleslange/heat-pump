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a2f8374598ecb3/Desktop/Evie Cambridge/Part 2A/GA4/"/>
    </mc:Choice>
  </mc:AlternateContent>
  <xr:revisionPtr revIDLastSave="291" documentId="8_{BACE9929-D903-430C-9DA9-1973B68D1195}" xr6:coauthVersionLast="47" xr6:coauthVersionMax="47" xr10:uidLastSave="{7646D892-032B-4BA4-8286-072BC0D217FF}"/>
  <bookViews>
    <workbookView xWindow="-110" yWindow="-110" windowWidth="19420" windowHeight="10420" activeTab="1" xr2:uid="{DF17692B-7EE1-440A-9844-6DAA2B49030F}"/>
  </bookViews>
  <sheets>
    <sheet name="normal" sheetId="1" r:id="rId1"/>
    <sheet name="back_normal" sheetId="3" r:id="rId2"/>
    <sheet name="front_normal_Take2" sheetId="4" r:id="rId3"/>
    <sheet name="restricted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7" i="4" l="1"/>
  <c r="M6" i="4"/>
  <c r="M5" i="4"/>
  <c r="G22" i="4"/>
  <c r="F22" i="4"/>
  <c r="E22" i="4"/>
  <c r="D22" i="4"/>
  <c r="C22" i="4"/>
  <c r="B22" i="4"/>
  <c r="A22" i="4"/>
  <c r="G20" i="4"/>
  <c r="F20" i="4"/>
  <c r="E20" i="4"/>
  <c r="D20" i="4"/>
  <c r="C20" i="4"/>
  <c r="B20" i="4"/>
  <c r="A20" i="4"/>
  <c r="G18" i="4"/>
  <c r="F18" i="4"/>
  <c r="E18" i="4"/>
  <c r="D18" i="4"/>
  <c r="C18" i="4"/>
  <c r="B18" i="4"/>
  <c r="A18" i="4"/>
  <c r="G16" i="4"/>
  <c r="F16" i="4"/>
  <c r="E16" i="4"/>
  <c r="D16" i="4"/>
  <c r="C16" i="4"/>
  <c r="B16" i="4"/>
  <c r="A16" i="4"/>
  <c r="G14" i="4"/>
  <c r="F14" i="4"/>
  <c r="E14" i="4"/>
  <c r="D14" i="4"/>
  <c r="C14" i="4"/>
  <c r="B14" i="4"/>
  <c r="A14" i="4"/>
  <c r="G12" i="4"/>
  <c r="F12" i="4"/>
  <c r="E12" i="4"/>
  <c r="D12" i="4"/>
  <c r="C12" i="4"/>
  <c r="B12" i="4"/>
  <c r="A12" i="4"/>
  <c r="G10" i="4"/>
  <c r="F10" i="4"/>
  <c r="E10" i="4"/>
  <c r="D10" i="4"/>
  <c r="C10" i="4"/>
  <c r="B10" i="4"/>
  <c r="A10" i="4"/>
  <c r="G8" i="4"/>
  <c r="F8" i="4"/>
  <c r="E8" i="4"/>
  <c r="D8" i="4"/>
  <c r="C8" i="4"/>
  <c r="B8" i="4"/>
  <c r="A8" i="4"/>
  <c r="G6" i="4"/>
  <c r="F6" i="4"/>
  <c r="E6" i="4"/>
  <c r="D6" i="4"/>
  <c r="C6" i="4"/>
  <c r="B6" i="4"/>
  <c r="A6" i="4"/>
  <c r="B4" i="4"/>
  <c r="C4" i="4"/>
  <c r="D4" i="4"/>
  <c r="E4" i="4"/>
  <c r="F4" i="4"/>
  <c r="G4" i="4"/>
  <c r="A4" i="4"/>
  <c r="H4" i="3"/>
  <c r="D18" i="3"/>
  <c r="D19" i="3"/>
  <c r="D20" i="3"/>
  <c r="D21" i="3"/>
  <c r="D22" i="3"/>
  <c r="D23" i="3"/>
  <c r="D24" i="3"/>
  <c r="D25" i="3"/>
  <c r="D26" i="3"/>
  <c r="D27" i="3"/>
  <c r="D1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2" i="3"/>
  <c r="M2" i="2"/>
  <c r="M1" i="2"/>
  <c r="A9" i="2"/>
  <c r="J1" i="2"/>
  <c r="M2" i="1"/>
  <c r="M1" i="1"/>
  <c r="A9" i="1"/>
  <c r="J1" i="1"/>
</calcChain>
</file>

<file path=xl/sharedStrings.xml><?xml version="1.0" encoding="utf-8"?>
<sst xmlns="http://schemas.openxmlformats.org/spreadsheetml/2006/main" count="17" uniqueCount="14">
  <si>
    <t>56cmx30cm free</t>
  </si>
  <si>
    <t>75cmx90cm free</t>
  </si>
  <si>
    <t>area</t>
  </si>
  <si>
    <t>mass flow =</t>
  </si>
  <si>
    <t>mass flow</t>
  </si>
  <si>
    <t>Radial Distance</t>
  </si>
  <si>
    <t>rho</t>
  </si>
  <si>
    <t>mass flow through ring</t>
  </si>
  <si>
    <t>11.5 cm</t>
  </si>
  <si>
    <t>10 grills height</t>
  </si>
  <si>
    <t>4 grills width</t>
  </si>
  <si>
    <t>13.2 cm</t>
  </si>
  <si>
    <t>area of grill m2</t>
  </si>
  <si>
    <t>area of excel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</si>
</sst>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FA13-1766-4666-851E-B9023B70FF20}">
  <dimension ref="A1:M14"/>
  <sheetViews>
    <sheetView workbookViewId="0">
      <selection activeCell="O9" sqref="O9"/>
    </sheetView>
  </sheetViews>
  <sheetFormatPr defaultRowHeight="14.5" x14ac:dyDescent="0.35"/>
  <sheetData>
    <row r="1" spans="1:13" x14ac:dyDescent="0.35">
      <c r="A1">
        <v>1.57</v>
      </c>
      <c r="B1">
        <v>1.57</v>
      </c>
      <c r="C1">
        <v>1.57</v>
      </c>
      <c r="D1">
        <v>1.57</v>
      </c>
      <c r="E1">
        <v>1.43</v>
      </c>
      <c r="F1">
        <v>1.43</v>
      </c>
      <c r="G1">
        <v>1.43</v>
      </c>
      <c r="H1">
        <v>1.43</v>
      </c>
      <c r="I1">
        <v>1.29</v>
      </c>
      <c r="J1">
        <f>75/8</f>
        <v>9.375</v>
      </c>
      <c r="L1" t="s">
        <v>2</v>
      </c>
      <c r="M1">
        <f>J1*A9 * 10^-4</f>
        <v>9.3749999999999997E-3</v>
      </c>
    </row>
    <row r="2" spans="1:13" x14ac:dyDescent="0.35">
      <c r="A2">
        <v>1.57</v>
      </c>
      <c r="B2">
        <v>1.43</v>
      </c>
      <c r="C2">
        <v>1.29</v>
      </c>
      <c r="D2">
        <v>1.29</v>
      </c>
      <c r="E2">
        <v>1.29</v>
      </c>
      <c r="F2">
        <v>1.29</v>
      </c>
      <c r="G2">
        <v>1.29</v>
      </c>
      <c r="H2">
        <v>1.1499999999999999</v>
      </c>
      <c r="I2">
        <v>1.1499999999999999</v>
      </c>
      <c r="L2" t="s">
        <v>3</v>
      </c>
      <c r="M2">
        <f>SUM(A1:I8) * M1*1.225</f>
        <v>1.0219945312500005</v>
      </c>
    </row>
    <row r="3" spans="1:13" x14ac:dyDescent="0.35">
      <c r="A3">
        <v>1.43</v>
      </c>
      <c r="B3">
        <v>1.43</v>
      </c>
      <c r="C3">
        <v>1.29</v>
      </c>
      <c r="D3">
        <v>1.29</v>
      </c>
      <c r="E3">
        <v>1.29</v>
      </c>
      <c r="F3">
        <v>1.29</v>
      </c>
      <c r="G3">
        <v>1.29</v>
      </c>
      <c r="H3">
        <v>1.1499999999999999</v>
      </c>
      <c r="I3">
        <v>1.1499999999999999</v>
      </c>
    </row>
    <row r="4" spans="1:13" x14ac:dyDescent="0.35">
      <c r="A4">
        <v>1.43</v>
      </c>
      <c r="B4">
        <v>1.29</v>
      </c>
      <c r="C4">
        <v>1.29</v>
      </c>
      <c r="D4">
        <v>1.29</v>
      </c>
      <c r="E4">
        <v>1.29</v>
      </c>
      <c r="F4">
        <v>1.1499999999999999</v>
      </c>
      <c r="G4">
        <v>1.1499999999999999</v>
      </c>
      <c r="H4">
        <v>1.1499999999999999</v>
      </c>
      <c r="I4">
        <v>1.1499999999999999</v>
      </c>
    </row>
    <row r="5" spans="1:13" x14ac:dyDescent="0.35">
      <c r="A5">
        <v>1.29</v>
      </c>
      <c r="B5">
        <v>1.29</v>
      </c>
      <c r="C5">
        <v>1.29</v>
      </c>
      <c r="D5">
        <v>1.29</v>
      </c>
      <c r="E5">
        <v>1.29</v>
      </c>
      <c r="F5">
        <v>1.29</v>
      </c>
      <c r="G5">
        <v>1.1499999999999999</v>
      </c>
      <c r="H5">
        <v>1</v>
      </c>
      <c r="I5">
        <v>1.1499999999999999</v>
      </c>
    </row>
    <row r="6" spans="1:13" x14ac:dyDescent="0.35">
      <c r="A6">
        <v>1.29</v>
      </c>
      <c r="B6">
        <v>1.29</v>
      </c>
      <c r="C6">
        <v>1.1499999999999999</v>
      </c>
      <c r="D6">
        <v>1.1499999999999999</v>
      </c>
      <c r="E6">
        <v>1.1499999999999999</v>
      </c>
      <c r="F6">
        <v>1.1499999999999999</v>
      </c>
      <c r="G6">
        <v>1</v>
      </c>
      <c r="H6">
        <v>1.1499999999999999</v>
      </c>
      <c r="I6">
        <v>1.1499999999999999</v>
      </c>
    </row>
    <row r="7" spans="1:13" x14ac:dyDescent="0.35">
      <c r="A7">
        <v>1.29</v>
      </c>
      <c r="B7">
        <v>1.1499999999999999</v>
      </c>
      <c r="C7">
        <v>1.1499999999999999</v>
      </c>
      <c r="D7">
        <v>1</v>
      </c>
      <c r="E7">
        <v>1.1499999999999999</v>
      </c>
      <c r="F7">
        <v>1</v>
      </c>
      <c r="G7">
        <v>1</v>
      </c>
      <c r="H7">
        <v>1</v>
      </c>
      <c r="I7">
        <v>1.1499999999999999</v>
      </c>
    </row>
    <row r="8" spans="1:13" x14ac:dyDescent="0.35">
      <c r="A8">
        <v>1.29</v>
      </c>
      <c r="B8">
        <v>1.1499999999999999</v>
      </c>
      <c r="C8">
        <v>1</v>
      </c>
      <c r="D8">
        <v>1</v>
      </c>
      <c r="E8">
        <v>1</v>
      </c>
      <c r="F8">
        <v>1</v>
      </c>
      <c r="G8">
        <v>1</v>
      </c>
      <c r="H8">
        <v>1.1499999999999999</v>
      </c>
      <c r="I8">
        <v>1.1499999999999999</v>
      </c>
    </row>
    <row r="9" spans="1:13" x14ac:dyDescent="0.35">
      <c r="A9">
        <f>90/9</f>
        <v>10</v>
      </c>
    </row>
    <row r="14" spans="1:13" x14ac:dyDescent="0.35">
      <c r="A14" t="s">
        <v>1</v>
      </c>
    </row>
  </sheetData>
  <conditionalFormatting sqref="A1:I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0CB6-5307-4EE8-AE95-ECF1EC8353C9}">
  <dimension ref="A1:H27"/>
  <sheetViews>
    <sheetView tabSelected="1" workbookViewId="0">
      <selection activeCell="H4" sqref="H4"/>
    </sheetView>
  </sheetViews>
  <sheetFormatPr defaultRowHeight="14.5" x14ac:dyDescent="0.35"/>
  <sheetData>
    <row r="1" spans="1:8" x14ac:dyDescent="0.35">
      <c r="A1" t="s">
        <v>5</v>
      </c>
      <c r="D1" t="s">
        <v>7</v>
      </c>
      <c r="E1">
        <v>1.23</v>
      </c>
      <c r="F1" t="s">
        <v>6</v>
      </c>
    </row>
    <row r="2" spans="1:8" x14ac:dyDescent="0.35">
      <c r="A2">
        <v>0</v>
      </c>
      <c r="C2">
        <v>-1.1499999999999999</v>
      </c>
      <c r="D2">
        <f>((C3+C2)/2) * PI() * (A3^2 - A2^2)*$E$1</f>
        <v>-1.6615883544836417E-3</v>
      </c>
    </row>
    <row r="3" spans="1:8" x14ac:dyDescent="0.35">
      <c r="A3">
        <v>0.02</v>
      </c>
      <c r="C3">
        <v>-1</v>
      </c>
      <c r="D3">
        <f t="shared" ref="D3:D27" si="0">((C4+C3)/2) * PI() * (A4^2 - A3^2)*$E$1</f>
        <v>-1.352455637370406E-3</v>
      </c>
    </row>
    <row r="4" spans="1:8" x14ac:dyDescent="0.35">
      <c r="A4">
        <v>0.03</v>
      </c>
      <c r="C4">
        <v>-0.4</v>
      </c>
      <c r="D4">
        <f t="shared" si="0"/>
        <v>1.2036855172596614E-3</v>
      </c>
      <c r="G4" t="s">
        <v>4</v>
      </c>
      <c r="H4">
        <f>SUM(D2:D27)</f>
        <v>0.94838826283169553</v>
      </c>
    </row>
    <row r="5" spans="1:8" x14ac:dyDescent="0.35">
      <c r="A5">
        <v>0.04</v>
      </c>
      <c r="C5">
        <v>1.29</v>
      </c>
      <c r="D5">
        <f t="shared" si="0"/>
        <v>5.2340033166234732E-3</v>
      </c>
    </row>
    <row r="6" spans="1:8" x14ac:dyDescent="0.35">
      <c r="A6">
        <v>0.05</v>
      </c>
      <c r="C6">
        <v>1.72</v>
      </c>
      <c r="D6">
        <f t="shared" si="0"/>
        <v>8.2886209775986271E-3</v>
      </c>
    </row>
    <row r="7" spans="1:8" x14ac:dyDescent="0.35">
      <c r="A7">
        <v>0.06</v>
      </c>
      <c r="C7">
        <v>2.1800000000000002</v>
      </c>
      <c r="D7">
        <f t="shared" si="0"/>
        <v>1.3613432029874124E-2</v>
      </c>
    </row>
    <row r="8" spans="1:8" x14ac:dyDescent="0.35">
      <c r="A8">
        <v>7.0000000000000007E-2</v>
      </c>
      <c r="C8">
        <v>3.24</v>
      </c>
      <c r="D8">
        <f t="shared" si="0"/>
        <v>1.8779812564629062E-2</v>
      </c>
    </row>
    <row r="9" spans="1:8" x14ac:dyDescent="0.35">
      <c r="A9">
        <v>0.08</v>
      </c>
      <c r="C9">
        <v>3.24</v>
      </c>
      <c r="D9">
        <f t="shared" si="0"/>
        <v>2.243337486501111E-2</v>
      </c>
    </row>
    <row r="10" spans="1:8" x14ac:dyDescent="0.35">
      <c r="A10">
        <v>0.09</v>
      </c>
      <c r="C10">
        <v>3.59</v>
      </c>
      <c r="D10">
        <f t="shared" si="0"/>
        <v>2.7018199475696825E-2</v>
      </c>
    </row>
    <row r="11" spans="1:8" x14ac:dyDescent="0.35">
      <c r="A11">
        <v>0.1</v>
      </c>
      <c r="C11">
        <v>3.77</v>
      </c>
      <c r="D11">
        <f t="shared" si="0"/>
        <v>3.2742950980737491E-2</v>
      </c>
    </row>
    <row r="12" spans="1:8" x14ac:dyDescent="0.35">
      <c r="A12">
        <v>0.11</v>
      </c>
      <c r="C12">
        <v>4.3</v>
      </c>
      <c r="D12">
        <f t="shared" si="0"/>
        <v>3.9771856136099723E-2</v>
      </c>
    </row>
    <row r="13" spans="1:8" x14ac:dyDescent="0.35">
      <c r="A13">
        <v>0.12</v>
      </c>
      <c r="C13">
        <v>4.6500000000000004</v>
      </c>
      <c r="D13">
        <f t="shared" si="0"/>
        <v>4.4051412188636126E-2</v>
      </c>
    </row>
    <row r="14" spans="1:8" x14ac:dyDescent="0.35">
      <c r="A14">
        <v>0.13</v>
      </c>
      <c r="C14">
        <v>4.47</v>
      </c>
      <c r="D14">
        <f t="shared" si="0"/>
        <v>4.846234964594557E-2</v>
      </c>
    </row>
    <row r="15" spans="1:8" x14ac:dyDescent="0.35">
      <c r="A15">
        <v>0.14000000000000001</v>
      </c>
      <c r="C15">
        <v>4.82</v>
      </c>
      <c r="D15">
        <f t="shared" si="0"/>
        <v>5.9560214190310636E-2</v>
      </c>
    </row>
    <row r="16" spans="1:8" x14ac:dyDescent="0.35">
      <c r="A16">
        <v>0.15</v>
      </c>
      <c r="C16">
        <v>5.81</v>
      </c>
      <c r="D16">
        <f t="shared" si="0"/>
        <v>6.8938527995733551E-2</v>
      </c>
    </row>
    <row r="17" spans="1:4" x14ac:dyDescent="0.35">
      <c r="A17">
        <v>0.16</v>
      </c>
      <c r="C17">
        <v>5.7</v>
      </c>
      <c r="D17">
        <f t="shared" si="0"/>
        <v>7.4852623290006193E-2</v>
      </c>
    </row>
    <row r="18" spans="1:4" x14ac:dyDescent="0.35">
      <c r="A18">
        <v>0.17</v>
      </c>
      <c r="C18">
        <v>6.04</v>
      </c>
      <c r="D18">
        <f t="shared" si="0"/>
        <v>7.938914591364267E-2</v>
      </c>
    </row>
    <row r="19" spans="1:4" x14ac:dyDescent="0.35">
      <c r="A19">
        <v>0.18</v>
      </c>
      <c r="C19">
        <v>5.7</v>
      </c>
      <c r="D19">
        <f t="shared" si="0"/>
        <v>7.7777791625690124E-2</v>
      </c>
    </row>
    <row r="20" spans="1:4" x14ac:dyDescent="0.35">
      <c r="A20">
        <v>0.19</v>
      </c>
      <c r="C20">
        <v>5.18</v>
      </c>
      <c r="D20">
        <f t="shared" si="0"/>
        <v>7.4070131099813363E-2</v>
      </c>
    </row>
    <row r="21" spans="1:4" x14ac:dyDescent="0.35">
      <c r="A21">
        <v>0.2</v>
      </c>
      <c r="C21">
        <v>4.6500000000000004</v>
      </c>
      <c r="D21">
        <f t="shared" si="0"/>
        <v>7.0897656590438382E-2</v>
      </c>
    </row>
    <row r="22" spans="1:4" x14ac:dyDescent="0.35">
      <c r="A22">
        <v>0.21</v>
      </c>
      <c r="C22">
        <v>4.3</v>
      </c>
      <c r="D22">
        <f t="shared" si="0"/>
        <v>6.5549660584379749E-2</v>
      </c>
    </row>
    <row r="23" spans="1:4" x14ac:dyDescent="0.35">
      <c r="A23">
        <v>0.22</v>
      </c>
      <c r="C23">
        <v>3.59</v>
      </c>
      <c r="D23">
        <f t="shared" si="0"/>
        <v>5.4774453313501482E-2</v>
      </c>
    </row>
    <row r="24" spans="1:4" x14ac:dyDescent="0.35">
      <c r="A24">
        <v>0.23</v>
      </c>
      <c r="C24">
        <v>2.71</v>
      </c>
      <c r="D24">
        <f t="shared" si="0"/>
        <v>3.6323094260805155E-2</v>
      </c>
    </row>
    <row r="25" spans="1:4" x14ac:dyDescent="0.35">
      <c r="A25">
        <v>0.24</v>
      </c>
      <c r="C25">
        <v>1.29</v>
      </c>
      <c r="D25">
        <f t="shared" si="0"/>
        <v>1.978642597472904E-2</v>
      </c>
    </row>
    <row r="26" spans="1:4" x14ac:dyDescent="0.35">
      <c r="A26">
        <v>0.25</v>
      </c>
      <c r="C26">
        <v>0.8</v>
      </c>
      <c r="D26">
        <f t="shared" si="0"/>
        <v>7.8828842863875211E-3</v>
      </c>
    </row>
    <row r="27" spans="1:4" x14ac:dyDescent="0.35">
      <c r="A27">
        <v>0.26</v>
      </c>
      <c r="C27">
        <v>0</v>
      </c>
      <c r="D27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F54D0-45C5-4C3F-B2FA-8A8320982C8B}">
  <dimension ref="A1:M24"/>
  <sheetViews>
    <sheetView workbookViewId="0">
      <selection activeCell="N14" sqref="N14"/>
    </sheetView>
  </sheetViews>
  <sheetFormatPr defaultRowHeight="14.5" x14ac:dyDescent="0.35"/>
  <cols>
    <col min="12" max="12" width="18.36328125" customWidth="1"/>
  </cols>
  <sheetData>
    <row r="1" spans="1:13" x14ac:dyDescent="0.35">
      <c r="B1">
        <v>67</v>
      </c>
      <c r="C1">
        <v>27</v>
      </c>
    </row>
    <row r="2" spans="1:13" x14ac:dyDescent="0.35">
      <c r="A2">
        <v>26</v>
      </c>
      <c r="B2">
        <v>23</v>
      </c>
      <c r="C2">
        <v>20</v>
      </c>
      <c r="D2">
        <v>17</v>
      </c>
      <c r="E2">
        <v>14</v>
      </c>
      <c r="F2">
        <v>11</v>
      </c>
      <c r="G2">
        <v>8</v>
      </c>
      <c r="H2">
        <v>5</v>
      </c>
      <c r="I2">
        <v>2</v>
      </c>
      <c r="L2" t="s">
        <v>9</v>
      </c>
      <c r="M2" t="s">
        <v>8</v>
      </c>
    </row>
    <row r="3" spans="1:13" x14ac:dyDescent="0.35">
      <c r="A3">
        <v>1.57</v>
      </c>
      <c r="B3">
        <v>1.57</v>
      </c>
      <c r="C3">
        <v>1.57</v>
      </c>
      <c r="D3">
        <v>1.57</v>
      </c>
      <c r="E3">
        <v>1.43</v>
      </c>
      <c r="F3">
        <v>1.43</v>
      </c>
      <c r="G3">
        <v>1.43</v>
      </c>
      <c r="H3">
        <v>1.43</v>
      </c>
      <c r="I3">
        <v>1.1499999999999999</v>
      </c>
      <c r="J3">
        <v>3</v>
      </c>
      <c r="L3" t="s">
        <v>10</v>
      </c>
      <c r="M3" t="s">
        <v>11</v>
      </c>
    </row>
    <row r="4" spans="1:13" x14ac:dyDescent="0.35">
      <c r="A4">
        <f>AVERAGE(A3,A5)</f>
        <v>0.78500000000000003</v>
      </c>
      <c r="B4">
        <f t="shared" ref="B4:G4" si="0">AVERAGE(B3,B5)</f>
        <v>1.5</v>
      </c>
      <c r="C4">
        <f t="shared" si="0"/>
        <v>1.5</v>
      </c>
      <c r="D4">
        <f t="shared" si="0"/>
        <v>1.5</v>
      </c>
      <c r="E4">
        <f t="shared" si="0"/>
        <v>1.3599999999999999</v>
      </c>
      <c r="F4">
        <f t="shared" si="0"/>
        <v>1.3599999999999999</v>
      </c>
      <c r="G4">
        <f t="shared" si="0"/>
        <v>1.29</v>
      </c>
      <c r="H4">
        <v>1.29</v>
      </c>
      <c r="I4">
        <v>1.1499999999999999</v>
      </c>
      <c r="J4">
        <v>6</v>
      </c>
    </row>
    <row r="5" spans="1:13" x14ac:dyDescent="0.35">
      <c r="A5">
        <v>0</v>
      </c>
      <c r="B5">
        <v>1.43</v>
      </c>
      <c r="C5">
        <v>1.43</v>
      </c>
      <c r="D5">
        <v>1.43</v>
      </c>
      <c r="E5">
        <v>1.29</v>
      </c>
      <c r="F5">
        <v>1.29</v>
      </c>
      <c r="G5">
        <v>1.1499999999999999</v>
      </c>
      <c r="H5">
        <v>1.29</v>
      </c>
      <c r="I5">
        <v>1.1499999999999999</v>
      </c>
      <c r="J5">
        <v>9</v>
      </c>
      <c r="L5" t="s">
        <v>12</v>
      </c>
      <c r="M5">
        <f>(13.2/4) *(11.5/10) *10^(-4)</f>
        <v>3.7949999999999995E-4</v>
      </c>
    </row>
    <row r="6" spans="1:13" x14ac:dyDescent="0.35">
      <c r="A6">
        <f>AVERAGE(A5,A7)</f>
        <v>0</v>
      </c>
      <c r="B6">
        <f t="shared" ref="B6" si="1">AVERAGE(B5,B7)</f>
        <v>1.43</v>
      </c>
      <c r="C6">
        <f t="shared" ref="C6" si="2">AVERAGE(C5,C7)</f>
        <v>1.43</v>
      </c>
      <c r="D6">
        <f t="shared" ref="D6" si="3">AVERAGE(D5,D7)</f>
        <v>1.3599999999999999</v>
      </c>
      <c r="E6">
        <f t="shared" ref="E6" si="4">AVERAGE(E5,E7)</f>
        <v>1.29</v>
      </c>
      <c r="F6">
        <f t="shared" ref="F6" si="5">AVERAGE(F5,F7)</f>
        <v>1.29</v>
      </c>
      <c r="G6">
        <f t="shared" ref="G6" si="6">AVERAGE(G5,G7)</f>
        <v>1.1499999999999999</v>
      </c>
      <c r="H6">
        <v>1.1499999999999999</v>
      </c>
      <c r="I6">
        <v>1</v>
      </c>
      <c r="J6">
        <v>12</v>
      </c>
      <c r="L6" t="s">
        <v>13</v>
      </c>
      <c r="M6">
        <f>M5*9</f>
        <v>3.4154999999999997E-3</v>
      </c>
    </row>
    <row r="7" spans="1:13" x14ac:dyDescent="0.35">
      <c r="A7">
        <v>0</v>
      </c>
      <c r="B7">
        <v>1.43</v>
      </c>
      <c r="C7">
        <v>1.43</v>
      </c>
      <c r="D7">
        <v>1.29</v>
      </c>
      <c r="E7">
        <v>1.29</v>
      </c>
      <c r="F7">
        <v>1.29</v>
      </c>
      <c r="G7">
        <v>1.1499999999999999</v>
      </c>
      <c r="H7">
        <v>1.1499999999999999</v>
      </c>
      <c r="I7">
        <v>1</v>
      </c>
      <c r="J7">
        <v>15</v>
      </c>
      <c r="L7" t="s">
        <v>4</v>
      </c>
      <c r="M7">
        <f>(SUM(A3:I23)*M6 + SUM(A24:I24)*M5*6)*1.23</f>
        <v>0.96511766422500056</v>
      </c>
    </row>
    <row r="8" spans="1:13" x14ac:dyDescent="0.35">
      <c r="A8">
        <f>AVERAGE(A7,A9)</f>
        <v>0</v>
      </c>
      <c r="B8">
        <f t="shared" ref="B8" si="7">AVERAGE(B7,B9)</f>
        <v>1.43</v>
      </c>
      <c r="C8">
        <f t="shared" ref="C8" si="8">AVERAGE(C7,C9)</f>
        <v>1.3599999999999999</v>
      </c>
      <c r="D8">
        <f t="shared" ref="D8" si="9">AVERAGE(D7,D9)</f>
        <v>1.3599999999999999</v>
      </c>
      <c r="E8">
        <f t="shared" ref="E8" si="10">AVERAGE(E7,E9)</f>
        <v>1.29</v>
      </c>
      <c r="F8">
        <f t="shared" ref="F8" si="11">AVERAGE(F7,F9)</f>
        <v>1.29</v>
      </c>
      <c r="G8">
        <f t="shared" ref="G8" si="12">AVERAGE(G7,G9)</f>
        <v>1.22</v>
      </c>
      <c r="H8">
        <v>1.1499999999999999</v>
      </c>
      <c r="I8">
        <v>1</v>
      </c>
      <c r="J8">
        <v>18</v>
      </c>
    </row>
    <row r="9" spans="1:13" x14ac:dyDescent="0.35">
      <c r="A9">
        <v>0</v>
      </c>
      <c r="B9">
        <v>1.43</v>
      </c>
      <c r="C9">
        <v>1.29</v>
      </c>
      <c r="D9">
        <v>1.43</v>
      </c>
      <c r="E9">
        <v>1.29</v>
      </c>
      <c r="F9">
        <v>1.29</v>
      </c>
      <c r="G9">
        <v>1.29</v>
      </c>
      <c r="H9">
        <v>1.1499999999999999</v>
      </c>
      <c r="I9">
        <v>1</v>
      </c>
      <c r="J9">
        <v>21</v>
      </c>
    </row>
    <row r="10" spans="1:13" x14ac:dyDescent="0.35">
      <c r="A10">
        <f>AVERAGE(A9,A11)</f>
        <v>0.71499999999999997</v>
      </c>
      <c r="B10">
        <f t="shared" ref="B10" si="13">AVERAGE(B9,B11)</f>
        <v>1.43</v>
      </c>
      <c r="C10">
        <f t="shared" ref="C10" si="14">AVERAGE(C9,C11)</f>
        <v>1.3599999999999999</v>
      </c>
      <c r="D10">
        <f t="shared" ref="D10" si="15">AVERAGE(D9,D11)</f>
        <v>1.43</v>
      </c>
      <c r="E10">
        <f t="shared" ref="E10" si="16">AVERAGE(E9,E11)</f>
        <v>1.29</v>
      </c>
      <c r="F10">
        <f t="shared" ref="F10" si="17">AVERAGE(F9,F11)</f>
        <v>1.29</v>
      </c>
      <c r="G10">
        <f t="shared" ref="G10" si="18">AVERAGE(G9,G11)</f>
        <v>1.29</v>
      </c>
      <c r="H10">
        <v>1</v>
      </c>
      <c r="I10">
        <v>1</v>
      </c>
      <c r="J10">
        <v>24</v>
      </c>
    </row>
    <row r="11" spans="1:13" x14ac:dyDescent="0.35">
      <c r="A11">
        <v>1.43</v>
      </c>
      <c r="B11">
        <v>1.43</v>
      </c>
      <c r="C11">
        <v>1.43</v>
      </c>
      <c r="D11">
        <v>1.43</v>
      </c>
      <c r="E11">
        <v>1.29</v>
      </c>
      <c r="F11">
        <v>1.29</v>
      </c>
      <c r="G11">
        <v>1.29</v>
      </c>
      <c r="H11">
        <v>1.1499999999999999</v>
      </c>
      <c r="I11">
        <v>1</v>
      </c>
      <c r="J11">
        <v>27</v>
      </c>
    </row>
    <row r="12" spans="1:13" x14ac:dyDescent="0.35">
      <c r="A12">
        <f>AVERAGE(A11,A13)</f>
        <v>1.29</v>
      </c>
      <c r="B12">
        <f t="shared" ref="B12" si="19">AVERAGE(B11,B13)</f>
        <v>1.43</v>
      </c>
      <c r="C12">
        <f t="shared" ref="C12" si="20">AVERAGE(C11,C13)</f>
        <v>1.43</v>
      </c>
      <c r="D12">
        <f t="shared" ref="D12" si="21">AVERAGE(D11,D13)</f>
        <v>1.43</v>
      </c>
      <c r="E12">
        <f t="shared" ref="E12" si="22">AVERAGE(E11,E13)</f>
        <v>1.29</v>
      </c>
      <c r="F12">
        <f t="shared" ref="F12" si="23">AVERAGE(F11,F13)</f>
        <v>1.29</v>
      </c>
      <c r="G12">
        <f t="shared" ref="G12" si="24">AVERAGE(G11,G13)</f>
        <v>1.22</v>
      </c>
      <c r="H12">
        <v>1.1499999999999999</v>
      </c>
      <c r="I12">
        <v>1</v>
      </c>
      <c r="J12">
        <v>30</v>
      </c>
    </row>
    <row r="13" spans="1:13" x14ac:dyDescent="0.35">
      <c r="A13">
        <v>1.1499999999999999</v>
      </c>
      <c r="B13">
        <v>1.43</v>
      </c>
      <c r="C13">
        <v>1.43</v>
      </c>
      <c r="D13">
        <v>1.43</v>
      </c>
      <c r="E13">
        <v>1.29</v>
      </c>
      <c r="F13">
        <v>1.29</v>
      </c>
      <c r="G13">
        <v>1.1499999999999999</v>
      </c>
      <c r="H13">
        <v>1</v>
      </c>
      <c r="I13">
        <v>1</v>
      </c>
      <c r="J13">
        <v>33</v>
      </c>
    </row>
    <row r="14" spans="1:13" x14ac:dyDescent="0.35">
      <c r="A14">
        <f>AVERAGE(A13,A15)</f>
        <v>1.22</v>
      </c>
      <c r="B14">
        <f t="shared" ref="B14" si="25">AVERAGE(B13,B15)</f>
        <v>1.3599999999999999</v>
      </c>
      <c r="C14">
        <f t="shared" ref="C14" si="26">AVERAGE(C13,C15)</f>
        <v>1.3599999999999999</v>
      </c>
      <c r="D14">
        <f t="shared" ref="D14" si="27">AVERAGE(D13,D15)</f>
        <v>1.3599999999999999</v>
      </c>
      <c r="E14">
        <f t="shared" ref="E14" si="28">AVERAGE(E13,E15)</f>
        <v>1.29</v>
      </c>
      <c r="F14">
        <f t="shared" ref="F14" si="29">AVERAGE(F13,F15)</f>
        <v>1.29</v>
      </c>
      <c r="G14">
        <f t="shared" ref="G14" si="30">AVERAGE(G13,G15)</f>
        <v>1.22</v>
      </c>
      <c r="H14">
        <v>1</v>
      </c>
      <c r="I14">
        <v>1</v>
      </c>
      <c r="J14">
        <v>36</v>
      </c>
    </row>
    <row r="15" spans="1:13" x14ac:dyDescent="0.35">
      <c r="A15">
        <v>1.29</v>
      </c>
      <c r="B15">
        <v>1.29</v>
      </c>
      <c r="C15">
        <v>1.29</v>
      </c>
      <c r="D15">
        <v>1.29</v>
      </c>
      <c r="E15">
        <v>1.29</v>
      </c>
      <c r="F15">
        <v>1.29</v>
      </c>
      <c r="G15">
        <v>1.29</v>
      </c>
      <c r="H15">
        <v>1</v>
      </c>
      <c r="I15">
        <v>1</v>
      </c>
      <c r="J15">
        <v>39</v>
      </c>
    </row>
    <row r="16" spans="1:13" x14ac:dyDescent="0.35">
      <c r="A16">
        <f>AVERAGE(A15,A17)</f>
        <v>1.29</v>
      </c>
      <c r="B16">
        <f t="shared" ref="B16" si="31">AVERAGE(B15,B17)</f>
        <v>1.29</v>
      </c>
      <c r="C16">
        <f t="shared" ref="C16" si="32">AVERAGE(C15,C17)</f>
        <v>1.29</v>
      </c>
      <c r="D16">
        <f t="shared" ref="D16" si="33">AVERAGE(D15,D17)</f>
        <v>1.29</v>
      </c>
      <c r="E16">
        <f t="shared" ref="E16" si="34">AVERAGE(E15,E17)</f>
        <v>1.22</v>
      </c>
      <c r="F16">
        <f t="shared" ref="F16" si="35">AVERAGE(F15,F17)</f>
        <v>1.22</v>
      </c>
      <c r="G16">
        <f t="shared" ref="G16" si="36">AVERAGE(G15,G17)</f>
        <v>1.22</v>
      </c>
      <c r="H16">
        <v>1</v>
      </c>
      <c r="I16">
        <v>1</v>
      </c>
      <c r="J16">
        <v>42</v>
      </c>
    </row>
    <row r="17" spans="1:10" x14ac:dyDescent="0.35">
      <c r="A17">
        <v>1.29</v>
      </c>
      <c r="B17">
        <v>1.29</v>
      </c>
      <c r="C17">
        <v>1.29</v>
      </c>
      <c r="D17">
        <v>1.29</v>
      </c>
      <c r="E17">
        <v>1.1499999999999999</v>
      </c>
      <c r="F17">
        <v>1.1499999999999999</v>
      </c>
      <c r="G17">
        <v>1.1499999999999999</v>
      </c>
      <c r="H17">
        <v>1</v>
      </c>
      <c r="I17">
        <v>1</v>
      </c>
      <c r="J17">
        <v>45</v>
      </c>
    </row>
    <row r="18" spans="1:10" x14ac:dyDescent="0.35">
      <c r="A18">
        <f>AVERAGE(A17,A19)</f>
        <v>1.22</v>
      </c>
      <c r="B18">
        <f t="shared" ref="B18" si="37">AVERAGE(B17,B19)</f>
        <v>1.29</v>
      </c>
      <c r="C18">
        <f t="shared" ref="C18" si="38">AVERAGE(C17,C19)</f>
        <v>1.22</v>
      </c>
      <c r="D18">
        <f t="shared" ref="D18" si="39">AVERAGE(D17,D19)</f>
        <v>1.22</v>
      </c>
      <c r="E18">
        <f t="shared" ref="E18" si="40">AVERAGE(E17,E19)</f>
        <v>1.1499999999999999</v>
      </c>
      <c r="F18">
        <f t="shared" ref="F18" si="41">AVERAGE(F17,F19)</f>
        <v>1.1499999999999999</v>
      </c>
      <c r="G18">
        <f t="shared" ref="G18" si="42">AVERAGE(G17,G19)</f>
        <v>1.1499999999999999</v>
      </c>
      <c r="H18">
        <v>1.1499999999999999</v>
      </c>
      <c r="I18">
        <v>0.8</v>
      </c>
      <c r="J18">
        <v>48</v>
      </c>
    </row>
    <row r="19" spans="1:10" x14ac:dyDescent="0.35">
      <c r="A19">
        <v>1.1499999999999999</v>
      </c>
      <c r="B19">
        <v>1.29</v>
      </c>
      <c r="C19">
        <v>1.1499999999999999</v>
      </c>
      <c r="D19">
        <v>1.1499999999999999</v>
      </c>
      <c r="E19">
        <v>1.1499999999999999</v>
      </c>
      <c r="F19">
        <v>1.1499999999999999</v>
      </c>
      <c r="G19">
        <v>1.1499999999999999</v>
      </c>
      <c r="H19">
        <v>1</v>
      </c>
      <c r="I19">
        <v>1</v>
      </c>
      <c r="J19">
        <v>51</v>
      </c>
    </row>
    <row r="20" spans="1:10" x14ac:dyDescent="0.35">
      <c r="A20">
        <f>AVERAGE(A19,A21)</f>
        <v>1.1499999999999999</v>
      </c>
      <c r="B20">
        <f t="shared" ref="B20" si="43">AVERAGE(B19,B21)</f>
        <v>1.29</v>
      </c>
      <c r="C20">
        <f t="shared" ref="C20" si="44">AVERAGE(C19,C21)</f>
        <v>1.1499999999999999</v>
      </c>
      <c r="D20">
        <f t="shared" ref="D20" si="45">AVERAGE(D19,D21)</f>
        <v>1.075</v>
      </c>
      <c r="E20">
        <f t="shared" ref="E20" si="46">AVERAGE(E19,E21)</f>
        <v>1.075</v>
      </c>
      <c r="F20">
        <f t="shared" ref="F20" si="47">AVERAGE(F19,F21)</f>
        <v>1.075</v>
      </c>
      <c r="G20">
        <f t="shared" ref="G20" si="48">AVERAGE(G19,G21)</f>
        <v>1.1499999999999999</v>
      </c>
      <c r="H20">
        <v>1.1499999999999999</v>
      </c>
      <c r="I20">
        <v>1</v>
      </c>
      <c r="J20">
        <v>54</v>
      </c>
    </row>
    <row r="21" spans="1:10" x14ac:dyDescent="0.35">
      <c r="A21">
        <v>1.1499999999999999</v>
      </c>
      <c r="B21">
        <v>1.29</v>
      </c>
      <c r="C21">
        <v>1.1499999999999999</v>
      </c>
      <c r="D21">
        <v>1</v>
      </c>
      <c r="E21">
        <v>1</v>
      </c>
      <c r="F21">
        <v>1</v>
      </c>
      <c r="G21">
        <v>1.1499999999999999</v>
      </c>
      <c r="H21">
        <v>1.1499999999999999</v>
      </c>
      <c r="I21">
        <v>0.8</v>
      </c>
      <c r="J21">
        <v>57</v>
      </c>
    </row>
    <row r="22" spans="1:10" x14ac:dyDescent="0.35">
      <c r="A22">
        <f>AVERAGE(A21,A23)</f>
        <v>1.1499999999999999</v>
      </c>
      <c r="B22">
        <f t="shared" ref="B22" si="49">AVERAGE(B21,B23)</f>
        <v>1.22</v>
      </c>
      <c r="C22">
        <f t="shared" ref="C22" si="50">AVERAGE(C21,C23)</f>
        <v>1.075</v>
      </c>
      <c r="D22">
        <f t="shared" ref="D22" si="51">AVERAGE(D21,D23)</f>
        <v>1</v>
      </c>
      <c r="E22">
        <f t="shared" ref="E22" si="52">AVERAGE(E21,E23)</f>
        <v>1</v>
      </c>
      <c r="F22">
        <f t="shared" ref="F22" si="53">AVERAGE(F21,F23)</f>
        <v>1</v>
      </c>
      <c r="G22">
        <f t="shared" ref="G22" si="54">AVERAGE(G21,G23)</f>
        <v>1.075</v>
      </c>
      <c r="H22">
        <v>1.1499999999999999</v>
      </c>
      <c r="I22">
        <v>1</v>
      </c>
      <c r="J22">
        <v>60</v>
      </c>
    </row>
    <row r="23" spans="1:10" x14ac:dyDescent="0.35">
      <c r="A23">
        <v>1.1499999999999999</v>
      </c>
      <c r="B23">
        <v>1.1499999999999999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63</v>
      </c>
    </row>
    <row r="24" spans="1:10" x14ac:dyDescent="0.35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0.8</v>
      </c>
      <c r="J24">
        <v>66</v>
      </c>
    </row>
  </sheetData>
  <conditionalFormatting sqref="A3:I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B3C9-B386-46BB-A42D-7AEA5AE8F692}">
  <dimension ref="A1:M12"/>
  <sheetViews>
    <sheetView workbookViewId="0">
      <selection activeCell="K14" sqref="K14"/>
    </sheetView>
  </sheetViews>
  <sheetFormatPr defaultRowHeight="14.5" x14ac:dyDescent="0.35"/>
  <sheetData>
    <row r="1" spans="1:13" x14ac:dyDescent="0.35">
      <c r="A1">
        <v>3.06</v>
      </c>
      <c r="B1">
        <v>3.06</v>
      </c>
      <c r="C1">
        <v>3.24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f>56/6</f>
        <v>9.3333333333333339</v>
      </c>
      <c r="L1" t="s">
        <v>2</v>
      </c>
      <c r="M1">
        <f>J1*A9*10^-4</f>
        <v>9.3333333333333341E-3</v>
      </c>
    </row>
    <row r="2" spans="1:13" x14ac:dyDescent="0.35">
      <c r="A2">
        <v>2.71</v>
      </c>
      <c r="B2">
        <v>2.54</v>
      </c>
      <c r="C2">
        <v>2.71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L2" t="s">
        <v>4</v>
      </c>
      <c r="M2">
        <f>M1*SUM(A1:C6)*1.225</f>
        <v>0.55005766666666678</v>
      </c>
    </row>
    <row r="3" spans="1:13" x14ac:dyDescent="0.35">
      <c r="A3">
        <v>2.71</v>
      </c>
      <c r="B3">
        <v>2.36</v>
      </c>
      <c r="C3">
        <v>2.71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13" x14ac:dyDescent="0.35">
      <c r="A4">
        <v>2.71</v>
      </c>
      <c r="B4">
        <v>2.54</v>
      </c>
      <c r="C4">
        <v>2.54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13" x14ac:dyDescent="0.35">
      <c r="A5">
        <v>2.36</v>
      </c>
      <c r="B5">
        <v>2.36</v>
      </c>
      <c r="C5">
        <v>2.36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13" x14ac:dyDescent="0.35">
      <c r="A6">
        <v>2.54</v>
      </c>
      <c r="B6">
        <v>2.89</v>
      </c>
      <c r="C6">
        <v>2.71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13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3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13" x14ac:dyDescent="0.35">
      <c r="A9">
        <f>30/3</f>
        <v>10</v>
      </c>
    </row>
    <row r="12" spans="1:13" x14ac:dyDescent="0.35">
      <c r="C12" t="s">
        <v>0</v>
      </c>
    </row>
  </sheetData>
  <conditionalFormatting sqref="A1:I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</vt:lpstr>
      <vt:lpstr>back_normal</vt:lpstr>
      <vt:lpstr>front_normal_Take2</vt:lpstr>
      <vt:lpstr>restricted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eviebassett6@gmail.com</dc:creator>
  <cp:lastModifiedBy>eviebassett6@gmail.com</cp:lastModifiedBy>
  <dcterms:created xsi:type="dcterms:W3CDTF">2026-06-05T10:14:55Z</dcterms:created>
  <dcterms:modified xsi:type="dcterms:W3CDTF">2026-06-09T09:58:13Z</dcterms:modified>
</cp:coreProperties>
</file>